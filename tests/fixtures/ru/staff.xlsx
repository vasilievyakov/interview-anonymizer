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  <sheet xmlns:r="http://schemas.openxmlformats.org/officeDocument/2006/relationships" name="Руководите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26" customWidth="1" min="4" max="4"/>
    <col width="16" customWidth="1" min="5" max="5"/>
    <col width="12" customWidth="1" min="6" max="6"/>
    <col width="10" customWidth="1" min="7" max="7"/>
    <col width="10" customWidth="1" min="8" max="8"/>
    <col width="14" customWidth="1" min="9" max="9"/>
    <col width="50" customWidth="1" min="10" max="10"/>
  </cols>
  <sheetData>
    <row r="1">
      <c r="A1" s="1" t="inlineStr">
        <is>
          <t>ФИО</t>
        </is>
      </c>
      <c r="B1" s="1" t="inlineStr">
        <is>
          <t>Табельный номер</t>
        </is>
      </c>
      <c r="C1" s="1" t="inlineStr">
        <is>
          <t>СНИЛС</t>
        </is>
      </c>
      <c r="D1" s="1" t="inlineStr">
        <is>
          <t>Должность</t>
        </is>
      </c>
      <c r="E1" s="1" t="inlineStr">
        <is>
          <t>Отдел</t>
        </is>
      </c>
      <c r="F1" s="1" t="inlineStr">
        <is>
          <t>Город</t>
        </is>
      </c>
      <c r="G1" s="1" t="inlineStr">
        <is>
          <t>Оклад</t>
        </is>
      </c>
      <c r="H1" s="1" t="inlineStr">
        <is>
          <t>Премия %</t>
        </is>
      </c>
      <c r="I1" s="1" t="inlineStr">
        <is>
          <t>Годовой ФОТ</t>
        </is>
      </c>
      <c r="J1" s="1" t="inlineStr">
        <is>
          <t>Комментарий</t>
        </is>
      </c>
    </row>
    <row r="2">
      <c r="A2" t="inlineStr">
        <is>
          <t>Ковалева Мария Андреевна</t>
        </is>
      </c>
      <c r="B2" t="inlineStr">
        <is>
          <t>00681</t>
        </is>
      </c>
      <c r="C2" t="inlineStr">
        <is>
          <t>602-461-496 61</t>
        </is>
      </c>
      <c r="D2" t="inlineStr">
        <is>
          <t>Главный бухгалтер</t>
        </is>
      </c>
      <c r="E2" t="inlineStr">
        <is>
          <t>Бухгалтерия</t>
        </is>
      </c>
      <c r="F2" t="inlineStr">
        <is>
          <t>Москва</t>
        </is>
      </c>
      <c r="G2" t="n">
        <v>68000</v>
      </c>
      <c r="H2" t="n">
        <v>5</v>
      </c>
      <c r="I2">
        <f>G2*12*(1+H2/100)</f>
        <v/>
      </c>
    </row>
    <row r="3">
      <c r="A3" t="inlineStr">
        <is>
          <t>Морозов Олег Викторович</t>
        </is>
      </c>
      <c r="B3" t="inlineStr">
        <is>
          <t>00540</t>
        </is>
      </c>
      <c r="C3" t="inlineStr">
        <is>
          <t>930-723-001 69</t>
        </is>
      </c>
      <c r="D3" t="inlineStr">
        <is>
          <t>Руководитель закупок</t>
        </is>
      </c>
      <c r="E3" t="inlineStr">
        <is>
          <t>Закупки</t>
        </is>
      </c>
      <c r="F3" t="inlineStr">
        <is>
          <t>Тверь</t>
        </is>
      </c>
      <c r="G3" t="n">
        <v>147000</v>
      </c>
      <c r="H3" t="n">
        <v>10</v>
      </c>
      <c r="I3">
        <f>G3*12*(1+H3/100)</f>
        <v/>
      </c>
    </row>
    <row r="4">
      <c r="A4" t="inlineStr">
        <is>
          <t>Морозова Анна Сергеевна</t>
        </is>
      </c>
      <c r="B4" t="inlineStr">
        <is>
          <t>00308</t>
        </is>
      </c>
      <c r="C4" t="inlineStr">
        <is>
          <t>559-221-176 96</t>
        </is>
      </c>
      <c r="D4" t="inlineStr">
        <is>
          <t>Контент-менеджер</t>
        </is>
      </c>
      <c r="E4" t="inlineStr">
        <is>
          <t>Маркетплейсы</t>
        </is>
      </c>
      <c r="F4" t="inlineStr">
        <is>
          <t>Иваново</t>
        </is>
      </c>
      <c r="G4" t="n">
        <v>61000</v>
      </c>
      <c r="H4" t="n">
        <v>10</v>
      </c>
      <c r="I4">
        <f>G4*12*(1+H4/100)</f>
        <v/>
      </c>
      <c r="J4" t="inlineStr">
        <is>
          <t>Однофамилица Морозова О.В., не родственники</t>
        </is>
      </c>
    </row>
    <row r="5">
      <c r="A5" t="inlineStr">
        <is>
          <t>Лебедев Дмитрий Николаевич</t>
        </is>
      </c>
      <c r="B5" t="inlineStr">
        <is>
          <t>00839</t>
        </is>
      </c>
      <c r="C5" t="inlineStr">
        <is>
          <t>029-316-323 41</t>
        </is>
      </c>
      <c r="D5" t="inlineStr">
        <is>
          <t>Начальник склада</t>
        </is>
      </c>
      <c r="E5" t="inlineStr">
        <is>
          <t>Склад</t>
        </is>
      </c>
      <c r="F5" t="inlineStr">
        <is>
          <t>Иваново</t>
        </is>
      </c>
      <c r="G5" t="n">
        <v>109000</v>
      </c>
      <c r="H5" t="n">
        <v>10</v>
      </c>
      <c r="I5">
        <f>G5*12*(1+H5/100)</f>
        <v/>
      </c>
      <c r="J5" t="inlineStr">
        <is>
          <t>Замещает Ковалеву М.А. на время отпуска</t>
        </is>
      </c>
    </row>
    <row r="6">
      <c r="A6" t="inlineStr">
        <is>
          <t>Соколова Елена Павловна</t>
        </is>
      </c>
      <c r="B6" t="inlineStr">
        <is>
          <t>00795</t>
        </is>
      </c>
      <c r="C6" t="inlineStr">
        <is>
          <t>963-724-499 55</t>
        </is>
      </c>
      <c r="D6" t="inlineStr">
        <is>
          <t>Руководитель направления</t>
        </is>
      </c>
      <c r="E6" t="inlineStr">
        <is>
          <t>Маркетплейсы</t>
        </is>
      </c>
      <c r="F6" t="inlineStr">
        <is>
          <t>Казань</t>
        </is>
      </c>
      <c r="G6" t="n">
        <v>176000</v>
      </c>
      <c r="H6" t="n">
        <v>10</v>
      </c>
      <c r="I6">
        <f>G6*12*(1+H6/100)</f>
        <v/>
      </c>
    </row>
    <row r="7">
      <c r="A7" t="inlineStr">
        <is>
          <t>Голубева Дарья Олеговна</t>
        </is>
      </c>
      <c r="B7" t="inlineStr">
        <is>
          <t>00804</t>
        </is>
      </c>
      <c r="C7" t="inlineStr">
        <is>
          <t>079-871-606 28</t>
        </is>
      </c>
      <c r="D7" t="inlineStr">
        <is>
          <t>Контент-менеджер</t>
        </is>
      </c>
      <c r="E7" t="inlineStr">
        <is>
          <t>Маркетплейсы</t>
        </is>
      </c>
      <c r="F7" t="inlineStr">
        <is>
          <t>Казань</t>
        </is>
      </c>
      <c r="G7" t="n">
        <v>139000</v>
      </c>
      <c r="H7" t="n">
        <v>20</v>
      </c>
      <c r="I7">
        <f>G7*12*(1+H7/100)</f>
        <v/>
      </c>
      <c r="J7" t="inlineStr">
        <is>
          <t>Наставник: Олег Морозов</t>
        </is>
      </c>
    </row>
    <row r="8">
      <c r="A8" t="inlineStr">
        <is>
          <t>Блинова Анна Михайловна</t>
        </is>
      </c>
      <c r="B8" t="inlineStr">
        <is>
          <t>00398</t>
        </is>
      </c>
      <c r="C8" t="inlineStr">
        <is>
          <t>735-255-216 92</t>
        </is>
      </c>
      <c r="D8" t="inlineStr">
        <is>
          <t>Специалист ВЭД</t>
        </is>
      </c>
      <c r="E8" t="inlineStr">
        <is>
          <t>Закупки</t>
        </is>
      </c>
      <c r="F8" t="inlineStr">
        <is>
          <t>Иваново</t>
        </is>
      </c>
      <c r="G8" t="n">
        <v>86000</v>
      </c>
      <c r="H8" t="n">
        <v>20</v>
      </c>
      <c r="I8">
        <f>G8*12*(1+H8/100)</f>
        <v/>
      </c>
      <c r="J8" t="inlineStr">
        <is>
          <t>Переведена из команды Соколовой 01.02.2026</t>
        </is>
      </c>
    </row>
    <row r="9">
      <c r="A9" t="inlineStr">
        <is>
          <t>Селезнев Павел Павлович</t>
        </is>
      </c>
      <c r="B9" t="inlineStr">
        <is>
          <t>00304</t>
        </is>
      </c>
      <c r="C9" t="inlineStr">
        <is>
          <t>624-934-432 01</t>
        </is>
      </c>
      <c r="D9" t="inlineStr">
        <is>
          <t>Водитель-экспедитор</t>
        </is>
      </c>
      <c r="E9" t="inlineStr">
        <is>
          <t>Логистика</t>
        </is>
      </c>
      <c r="F9" t="inlineStr">
        <is>
          <t>Москва</t>
        </is>
      </c>
      <c r="G9" t="n">
        <v>155000</v>
      </c>
      <c r="H9" t="n">
        <v>10</v>
      </c>
      <c r="I9">
        <f>G9*12*(1+H9/100)</f>
        <v/>
      </c>
    </row>
    <row r="10">
      <c r="A10" t="inlineStr">
        <is>
          <t>Ершов Егор Юрьевич</t>
        </is>
      </c>
      <c r="B10" t="inlineStr">
        <is>
          <t>00821</t>
        </is>
      </c>
      <c r="C10" t="inlineStr">
        <is>
          <t>717-648-783 46</t>
        </is>
      </c>
      <c r="D10" t="inlineStr">
        <is>
          <t>Менеджер по закупкам</t>
        </is>
      </c>
      <c r="E10" t="inlineStr">
        <is>
          <t>Закупки</t>
        </is>
      </c>
      <c r="F10" t="inlineStr">
        <is>
          <t>Москва</t>
        </is>
      </c>
      <c r="G10" t="n">
        <v>150000</v>
      </c>
      <c r="H10" t="n">
        <v>0</v>
      </c>
      <c r="I10">
        <f>G10*12*(1+H10/100)</f>
        <v/>
      </c>
      <c r="J10" t="inlineStr">
        <is>
          <t>Испытательный срок до 01.06.2026</t>
        </is>
      </c>
    </row>
    <row r="11">
      <c r="A11" t="inlineStr">
        <is>
          <t>Рябов Глеб Александрович</t>
        </is>
      </c>
      <c r="B11" t="inlineStr">
        <is>
          <t>00142</t>
        </is>
      </c>
      <c r="C11" t="inlineStr">
        <is>
          <t>321-762-695 70</t>
        </is>
      </c>
      <c r="D11" t="inlineStr">
        <is>
          <t>Бухгалтер</t>
        </is>
      </c>
      <c r="E11" t="inlineStr">
        <is>
          <t>Бухгалтерия</t>
        </is>
      </c>
      <c r="F11" t="inlineStr">
        <is>
          <t>Москва</t>
        </is>
      </c>
      <c r="G11" t="n">
        <v>139000</v>
      </c>
      <c r="H11" t="n">
        <v>10</v>
      </c>
      <c r="I11">
        <f>G11*12*(1+H11/100)</f>
        <v/>
      </c>
    </row>
    <row r="12">
      <c r="A12" t="inlineStr">
        <is>
          <t>Панфилов Никита Павлович</t>
        </is>
      </c>
      <c r="B12" t="inlineStr">
        <is>
          <t>00945</t>
        </is>
      </c>
      <c r="C12" t="inlineStr">
        <is>
          <t>483-590-391 22</t>
        </is>
      </c>
      <c r="D12" t="inlineStr">
        <is>
          <t>Водитель-экспедитор</t>
        </is>
      </c>
      <c r="E12" t="inlineStr">
        <is>
          <t>Логистика</t>
        </is>
      </c>
      <c r="F12" t="inlineStr">
        <is>
          <t>Иваново</t>
        </is>
      </c>
      <c r="G12" t="n">
        <v>172000</v>
      </c>
      <c r="H12" t="n">
        <v>15</v>
      </c>
      <c r="I12">
        <f>G12*12*(1+H12/100)</f>
        <v/>
      </c>
      <c r="J12" t="inlineStr">
        <is>
          <t>Премию согласовала Мария Андреевна</t>
        </is>
      </c>
    </row>
    <row r="13">
      <c r="A13" t="inlineStr">
        <is>
          <t>Прохорова Ольга Игоревна</t>
        </is>
      </c>
      <c r="B13" t="inlineStr">
        <is>
          <t>00706</t>
        </is>
      </c>
      <c r="C13" t="inlineStr">
        <is>
          <t>092-115-656 50</t>
        </is>
      </c>
      <c r="D13" t="inlineStr">
        <is>
          <t>Менеджер по закупкам</t>
        </is>
      </c>
      <c r="E13" t="inlineStr">
        <is>
          <t>Закупки</t>
        </is>
      </c>
      <c r="F13" t="inlineStr">
        <is>
          <t>Подольск</t>
        </is>
      </c>
      <c r="G13" t="n">
        <v>162000</v>
      </c>
      <c r="H13" t="n">
        <v>20</v>
      </c>
      <c r="I13">
        <f>G13*12*(1+H13/100)</f>
        <v/>
      </c>
      <c r="J13" t="inlineStr">
        <is>
          <t>Ведет кабинет Wildberries и Ozon</t>
        </is>
      </c>
    </row>
    <row r="14">
      <c r="A14" t="inlineStr">
        <is>
          <t>Тихонова Елена Олеговна</t>
        </is>
      </c>
      <c r="B14" t="inlineStr">
        <is>
          <t>00666</t>
        </is>
      </c>
      <c r="C14" t="inlineStr">
        <is>
          <t>951-468-176 35</t>
        </is>
      </c>
      <c r="D14" t="inlineStr">
        <is>
          <t>Старший кладовщик</t>
        </is>
      </c>
      <c r="E14" t="inlineStr">
        <is>
          <t>Склад</t>
        </is>
      </c>
      <c r="F14" t="inlineStr">
        <is>
          <t>Подольск</t>
        </is>
      </c>
      <c r="G14" t="n">
        <v>156000</v>
      </c>
      <c r="H14" t="n">
        <v>10</v>
      </c>
      <c r="I14">
        <f>G14*12*(1+H14/100)</f>
        <v/>
      </c>
    </row>
    <row r="15">
      <c r="A15" t="inlineStr">
        <is>
          <t>Котова Екатерина Сергеевна</t>
        </is>
      </c>
      <c r="B15" t="inlineStr">
        <is>
          <t>00188</t>
        </is>
      </c>
      <c r="C15" t="inlineStr">
        <is>
          <t>017-562-637 55</t>
        </is>
      </c>
      <c r="D15" t="inlineStr">
        <is>
          <t>Менеджер по закупкам</t>
        </is>
      </c>
      <c r="E15" t="inlineStr">
        <is>
          <t>Закупки</t>
        </is>
      </c>
      <c r="F15" t="inlineStr">
        <is>
          <t>Москва</t>
        </is>
      </c>
      <c r="G15" t="n">
        <v>169000</v>
      </c>
      <c r="H15" t="n">
        <v>15</v>
      </c>
      <c r="I15">
        <f>G15*12*(1+H15/100)</f>
        <v/>
      </c>
      <c r="J15" t="inlineStr">
        <is>
          <t>По вопросам графика к Лебедеву Д.Н.</t>
        </is>
      </c>
    </row>
    <row r="16">
      <c r="A16" t="inlineStr">
        <is>
          <t>Кондратьев Глеб Александрович</t>
        </is>
      </c>
      <c r="B16" t="inlineStr">
        <is>
          <t>00252</t>
        </is>
      </c>
      <c r="C16" t="inlineStr">
        <is>
          <t>303-184-682 45</t>
        </is>
      </c>
      <c r="D16" t="inlineStr">
        <is>
          <t>Бухгалтер</t>
        </is>
      </c>
      <c r="E16" t="inlineStr">
        <is>
          <t>Бухгалтерия</t>
        </is>
      </c>
      <c r="F16" t="inlineStr">
        <is>
          <t>Иваново</t>
        </is>
      </c>
      <c r="G16" t="n">
        <v>165000</v>
      </c>
      <c r="H16" t="n">
        <v>5</v>
      </c>
      <c r="I16">
        <f>G16*12*(1+H16/100)</f>
        <v/>
      </c>
    </row>
    <row r="17">
      <c r="A17" t="inlineStr">
        <is>
          <t>Нестеров Степан Сергеевич</t>
        </is>
      </c>
      <c r="B17" t="inlineStr">
        <is>
          <t>00687</t>
        </is>
      </c>
      <c r="C17" t="inlineStr">
        <is>
          <t>906-889-403 60</t>
        </is>
      </c>
      <c r="D17" t="inlineStr">
        <is>
          <t>Логист</t>
        </is>
      </c>
      <c r="E17" t="inlineStr">
        <is>
          <t>Логистика</t>
        </is>
      </c>
      <c r="F17" t="inlineStr">
        <is>
          <t>Подольск</t>
        </is>
      </c>
      <c r="G17" t="n">
        <v>116000</v>
      </c>
      <c r="H17" t="n">
        <v>10</v>
      </c>
      <c r="I17">
        <f>G17*12*(1+H17/100)</f>
        <v/>
      </c>
    </row>
    <row r="18">
      <c r="A18" t="inlineStr">
        <is>
          <t>Харитонова Анна Николаевна</t>
        </is>
      </c>
      <c r="B18" t="inlineStr">
        <is>
          <t>00211</t>
        </is>
      </c>
      <c r="C18" t="inlineStr">
        <is>
          <t>064-684-231 80</t>
        </is>
      </c>
      <c r="D18" t="inlineStr">
        <is>
          <t>Контент-менеджер</t>
        </is>
      </c>
      <c r="E18" t="inlineStr">
        <is>
          <t>Маркетплейсы</t>
        </is>
      </c>
      <c r="F18" t="inlineStr">
        <is>
          <t>Подольск</t>
        </is>
      </c>
      <c r="G18" t="n">
        <v>66000</v>
      </c>
      <c r="H18" t="n">
        <v>0</v>
      </c>
      <c r="I18">
        <f>G18*12*(1+H18/100)</f>
        <v/>
      </c>
      <c r="J18" t="inlineStr">
        <is>
          <t>Оклад пересмотрен в марте 2026, +10%</t>
        </is>
      </c>
    </row>
    <row r="19">
      <c r="A19" t="inlineStr">
        <is>
          <t>Комарова Наталья Юрьевна</t>
        </is>
      </c>
      <c r="B19" t="inlineStr">
        <is>
          <t>00229</t>
        </is>
      </c>
      <c r="C19" t="inlineStr">
        <is>
          <t>339-905-331 02</t>
        </is>
      </c>
      <c r="D19" t="inlineStr">
        <is>
          <t>Контент-менеджер</t>
        </is>
      </c>
      <c r="E19" t="inlineStr">
        <is>
          <t>Маркетплейсы</t>
        </is>
      </c>
      <c r="F19" t="inlineStr">
        <is>
          <t>Подольск</t>
        </is>
      </c>
      <c r="G19" t="n">
        <v>113000</v>
      </c>
      <c r="H19" t="n">
        <v>15</v>
      </c>
      <c r="I19">
        <f>G19*12*(1+H19/100)</f>
        <v/>
      </c>
    </row>
    <row r="20">
      <c r="A20" t="inlineStr">
        <is>
          <t>Савина Полина Андреевна</t>
        </is>
      </c>
      <c r="B20" t="inlineStr">
        <is>
          <t>00480</t>
        </is>
      </c>
      <c r="C20" t="inlineStr">
        <is>
          <t>748-316-452 20</t>
        </is>
      </c>
      <c r="D20" t="inlineStr">
        <is>
          <t>Бухгалтер по первичке</t>
        </is>
      </c>
      <c r="E20" t="inlineStr">
        <is>
          <t>Бухгалтерия</t>
        </is>
      </c>
      <c r="F20" t="inlineStr">
        <is>
          <t>Москва</t>
        </is>
      </c>
      <c r="G20" t="n">
        <v>140000</v>
      </c>
      <c r="H20" t="n">
        <v>0</v>
      </c>
      <c r="I20">
        <f>G20*12*(1+H20/100)</f>
        <v/>
      </c>
      <c r="J20" t="inlineStr">
        <is>
          <t>Сменщик: Павел Селезнев</t>
        </is>
      </c>
    </row>
    <row r="21">
      <c r="A21" t="inlineStr">
        <is>
          <t>Гурьев Кирилл Олегович</t>
        </is>
      </c>
      <c r="B21" t="inlineStr">
        <is>
          <t>00219</t>
        </is>
      </c>
      <c r="C21" t="inlineStr">
        <is>
          <t>919-714-295 42</t>
        </is>
      </c>
      <c r="D21" t="inlineStr">
        <is>
          <t>Старший кладовщик</t>
        </is>
      </c>
      <c r="E21" t="inlineStr">
        <is>
          <t>Склад</t>
        </is>
      </c>
      <c r="F21" t="inlineStr">
        <is>
          <t>Тверь</t>
        </is>
      </c>
      <c r="G21" t="n">
        <v>143000</v>
      </c>
      <c r="H21" t="n">
        <v>5</v>
      </c>
      <c r="I21">
        <f>G21*12*(1+H21/100)</f>
        <v/>
      </c>
    </row>
    <row r="22">
      <c r="A22" t="inlineStr">
        <is>
          <t>Шилов Алексей Михайлович</t>
        </is>
      </c>
      <c r="B22" t="inlineStr">
        <is>
          <t>00525</t>
        </is>
      </c>
      <c r="C22" t="inlineStr">
        <is>
          <t>550-752-981 02</t>
        </is>
      </c>
      <c r="D22" t="inlineStr">
        <is>
          <t>Кладовщик</t>
        </is>
      </c>
      <c r="E22" t="inlineStr">
        <is>
          <t>Склад</t>
        </is>
      </c>
      <c r="F22" t="inlineStr">
        <is>
          <t>Казань</t>
        </is>
      </c>
      <c r="G22" t="n">
        <v>157000</v>
      </c>
      <c r="H22" t="n">
        <v>20</v>
      </c>
      <c r="I22">
        <f>G22*12*(1+H22/100)</f>
        <v/>
      </c>
    </row>
    <row r="23">
      <c r="A23" t="inlineStr">
        <is>
          <t>Широкова Софья Викторовна</t>
        </is>
      </c>
      <c r="B23" t="inlineStr">
        <is>
          <t>00623</t>
        </is>
      </c>
      <c r="C23" t="inlineStr">
        <is>
          <t>608-206-100 48</t>
        </is>
      </c>
      <c r="D23" t="inlineStr">
        <is>
          <t>Водитель-экспедитор</t>
        </is>
      </c>
      <c r="E23" t="inlineStr">
        <is>
          <t>Логистика</t>
        </is>
      </c>
      <c r="F23" t="inlineStr">
        <is>
          <t>Казань</t>
        </is>
      </c>
      <c r="G23" t="n">
        <v>122000</v>
      </c>
      <c r="H23" t="n">
        <v>10</v>
      </c>
      <c r="I23">
        <f>G23*12*(1+H23/100)</f>
        <v/>
      </c>
      <c r="J23" t="inlineStr">
        <is>
          <t>Работает удаленно, документы через Ковалеву</t>
        </is>
      </c>
    </row>
    <row r="24">
      <c r="A24" t="inlineStr">
        <is>
          <t>Миронова Дарья Николаевна</t>
        </is>
      </c>
      <c r="B24" t="inlineStr">
        <is>
          <t>00693</t>
        </is>
      </c>
      <c r="C24" t="inlineStr">
        <is>
          <t>841-352-108 72</t>
        </is>
      </c>
      <c r="D24" t="inlineStr">
        <is>
          <t>Бухгалтер</t>
        </is>
      </c>
      <c r="E24" t="inlineStr">
        <is>
          <t>Бухгалтерия</t>
        </is>
      </c>
      <c r="F24" t="inlineStr">
        <is>
          <t>Иваново</t>
        </is>
      </c>
      <c r="G24" t="n">
        <v>152000</v>
      </c>
      <c r="H24" t="n">
        <v>5</v>
      </c>
      <c r="I24">
        <f>G24*12*(1+H24/100)</f>
        <v/>
      </c>
    </row>
    <row r="25">
      <c r="A25" t="inlineStr">
        <is>
          <t>Волкова Наталья Юрьевна</t>
        </is>
      </c>
      <c r="B25" t="inlineStr">
        <is>
          <t>00904</t>
        </is>
      </c>
      <c r="C25" t="inlineStr">
        <is>
          <t>360-739-650 95</t>
        </is>
      </c>
      <c r="D25" t="inlineStr">
        <is>
          <t>Логист</t>
        </is>
      </c>
      <c r="E25" t="inlineStr">
        <is>
          <t>Логистика</t>
        </is>
      </c>
      <c r="F25" t="inlineStr">
        <is>
          <t>Подольск</t>
        </is>
      </c>
      <c r="G25" t="n">
        <v>93000</v>
      </c>
      <c r="H25" t="n">
        <v>10</v>
      </c>
      <c r="I25">
        <f>G25*12*(1+H25/100)</f>
        <v/>
      </c>
    </row>
    <row r="26">
      <c r="A26" t="inlineStr">
        <is>
          <t>Исаев Егор Михайлович</t>
        </is>
      </c>
      <c r="B26" t="inlineStr">
        <is>
          <t>00212</t>
        </is>
      </c>
      <c r="C26" t="inlineStr">
        <is>
          <t>415-268-146 69</t>
        </is>
      </c>
      <c r="D26" t="inlineStr">
        <is>
          <t>Водитель-экспедитор</t>
        </is>
      </c>
      <c r="E26" t="inlineStr">
        <is>
          <t>Логистика</t>
        </is>
      </c>
      <c r="F26" t="inlineStr">
        <is>
          <t>Москва</t>
        </is>
      </c>
      <c r="G26" t="n">
        <v>78000</v>
      </c>
      <c r="H26" t="n">
        <v>20</v>
      </c>
      <c r="I26">
        <f>G26*12*(1+H26/100)</f>
        <v/>
      </c>
      <c r="J26" t="inlineStr">
        <is>
          <t>Совмещает с работой у Морозова в закупках</t>
        </is>
      </c>
    </row>
    <row r="27">
      <c r="A27" t="inlineStr">
        <is>
          <t>Белов Кирилл Александрович</t>
        </is>
      </c>
      <c r="B27" t="inlineStr">
        <is>
          <t>00511</t>
        </is>
      </c>
      <c r="C27" t="inlineStr">
        <is>
          <t>293-405-838 92</t>
        </is>
      </c>
      <c r="D27" t="inlineStr">
        <is>
          <t>Бухгалтер по первичке</t>
        </is>
      </c>
      <c r="E27" t="inlineStr">
        <is>
          <t>Бухгалтерия</t>
        </is>
      </c>
      <c r="F27" t="inlineStr">
        <is>
          <t>Москва</t>
        </is>
      </c>
      <c r="G27" t="n">
        <v>55000</v>
      </c>
      <c r="H27" t="n">
        <v>20</v>
      </c>
      <c r="I27">
        <f>G27*12*(1+H27/100)</f>
        <v/>
      </c>
    </row>
    <row r="28">
      <c r="A28" t="inlineStr">
        <is>
          <t>Абрамов Андрей Андреевич</t>
        </is>
      </c>
      <c r="B28" t="inlineStr">
        <is>
          <t>00867</t>
        </is>
      </c>
      <c r="C28" t="inlineStr">
        <is>
          <t>403-650-010 19</t>
        </is>
      </c>
      <c r="D28" t="inlineStr">
        <is>
          <t>Менеджер маркетплейсов</t>
        </is>
      </c>
      <c r="E28" t="inlineStr">
        <is>
          <t>Маркетплейсы</t>
        </is>
      </c>
      <c r="F28" t="inlineStr">
        <is>
          <t>Москва</t>
        </is>
      </c>
      <c r="G28" t="n">
        <v>64000</v>
      </c>
      <c r="H28" t="n">
        <v>0</v>
      </c>
      <c r="I28">
        <f>G28*12*(1+H28/100)</f>
        <v/>
      </c>
    </row>
    <row r="29">
      <c r="A29" t="inlineStr">
        <is>
          <t>Пестова Татьяна Михайловна</t>
        </is>
      </c>
      <c r="B29" t="inlineStr">
        <is>
          <t>00710</t>
        </is>
      </c>
      <c r="C29" t="inlineStr">
        <is>
          <t>277-345-796 24</t>
        </is>
      </c>
      <c r="D29" t="inlineStr">
        <is>
          <t>Контент-менеджер</t>
        </is>
      </c>
      <c r="E29" t="inlineStr">
        <is>
          <t>Маркетплейсы</t>
        </is>
      </c>
      <c r="F29" t="inlineStr">
        <is>
          <t>Подольск</t>
        </is>
      </c>
      <c r="G29" t="n">
        <v>152000</v>
      </c>
      <c r="H29" t="n">
        <v>20</v>
      </c>
      <c r="I29">
        <f>G29*12*(1+H29/100)</f>
        <v/>
      </c>
      <c r="J29" t="inlineStr">
        <is>
          <t>Декрет с 15.11.2025</t>
        </is>
      </c>
    </row>
    <row r="30">
      <c r="A30" t="inlineStr">
        <is>
          <t>Евсеева Наталья Павловна</t>
        </is>
      </c>
      <c r="B30" t="inlineStr">
        <is>
          <t>00539</t>
        </is>
      </c>
      <c r="C30" t="inlineStr">
        <is>
          <t>409-828-179 13</t>
        </is>
      </c>
      <c r="D30" t="inlineStr">
        <is>
          <t>Бухгалтер по первичке</t>
        </is>
      </c>
      <c r="E30" t="inlineStr">
        <is>
          <t>Бухгалтерия</t>
        </is>
      </c>
      <c r="F30" t="inlineStr">
        <is>
          <t>Тверь</t>
        </is>
      </c>
      <c r="G30" t="n">
        <v>140000</v>
      </c>
      <c r="H30" t="n">
        <v>20</v>
      </c>
      <c r="I30">
        <f>G30*12*(1+H30/100)</f>
        <v/>
      </c>
    </row>
    <row r="31">
      <c r="A31" t="inlineStr">
        <is>
          <t>Дорофеева Татьяна Павловна</t>
        </is>
      </c>
      <c r="B31" t="inlineStr">
        <is>
          <t>00808</t>
        </is>
      </c>
      <c r="C31" t="inlineStr">
        <is>
          <t>460-688-464 18</t>
        </is>
      </c>
      <c r="D31" t="inlineStr">
        <is>
          <t>Водитель-экспедитор</t>
        </is>
      </c>
      <c r="E31" t="inlineStr">
        <is>
          <t>Логистика</t>
        </is>
      </c>
      <c r="F31" t="inlineStr">
        <is>
          <t>Тверь</t>
        </is>
      </c>
      <c r="G31" t="n">
        <v>161000</v>
      </c>
      <c r="H31" t="n">
        <v>5</v>
      </c>
      <c r="I31">
        <f>G31*12*(1+H31/100)</f>
        <v/>
      </c>
    </row>
    <row r="32">
      <c r="A32" t="inlineStr">
        <is>
          <t>Демидов Глеб Сергеевич</t>
        </is>
      </c>
      <c r="B32" t="inlineStr">
        <is>
          <t>00854</t>
        </is>
      </c>
      <c r="C32" t="inlineStr">
        <is>
          <t>099-368-756 50</t>
        </is>
      </c>
      <c r="D32" t="inlineStr">
        <is>
          <t>Специалист ВЭД</t>
        </is>
      </c>
      <c r="E32" t="inlineStr">
        <is>
          <t>Закупки</t>
        </is>
      </c>
      <c r="F32" t="inlineStr">
        <is>
          <t>Москва</t>
        </is>
      </c>
      <c r="G32" t="n">
        <v>126000</v>
      </c>
      <c r="H32" t="n">
        <v>0</v>
      </c>
      <c r="I32">
        <f>G32*12*(1+H32/100)</f>
        <v/>
      </c>
      <c r="J32" t="inlineStr">
        <is>
          <t>Курирует новичков вместе с Еленой Соколовой</t>
        </is>
      </c>
    </row>
    <row r="33">
      <c r="A33" t="inlineStr">
        <is>
          <t>Вешнякова Юлия Сергеевна</t>
        </is>
      </c>
      <c r="B33" t="inlineStr">
        <is>
          <t>00456</t>
        </is>
      </c>
      <c r="C33" t="inlineStr">
        <is>
          <t>087-476-544 21</t>
        </is>
      </c>
      <c r="D33" t="inlineStr">
        <is>
          <t>Водитель-экспедитор</t>
        </is>
      </c>
      <c r="E33" t="inlineStr">
        <is>
          <t>Логистика</t>
        </is>
      </c>
      <c r="F33" t="inlineStr">
        <is>
          <t>Казань</t>
        </is>
      </c>
      <c r="G33" t="n">
        <v>111000</v>
      </c>
      <c r="H33" t="n">
        <v>0</v>
      </c>
      <c r="I33">
        <f>G33*12*(1+H33/100)</f>
        <v/>
      </c>
    </row>
    <row r="34">
      <c r="A34" t="inlineStr">
        <is>
          <t>Осипова Наталья Александровна</t>
        </is>
      </c>
      <c r="B34" t="inlineStr">
        <is>
          <t>00575</t>
        </is>
      </c>
      <c r="C34" t="inlineStr">
        <is>
          <t>798-428-791 95</t>
        </is>
      </c>
      <c r="D34" t="inlineStr">
        <is>
          <t>Бухгалтер</t>
        </is>
      </c>
      <c r="E34" t="inlineStr">
        <is>
          <t>Бухгалтерия</t>
        </is>
      </c>
      <c r="F34" t="inlineStr">
        <is>
          <t>Казань</t>
        </is>
      </c>
      <c r="G34" t="n">
        <v>92000</v>
      </c>
      <c r="H34" t="n">
        <v>0</v>
      </c>
      <c r="I34">
        <f>G34*12*(1+H34/100)</f>
        <v/>
      </c>
    </row>
    <row r="35">
      <c r="A35" t="inlineStr">
        <is>
          <t>Субботина Дарья Юрьевна</t>
        </is>
      </c>
      <c r="B35" t="inlineStr">
        <is>
          <t>00169</t>
        </is>
      </c>
      <c r="C35" t="inlineStr">
        <is>
          <t>373-567-799 38</t>
        </is>
      </c>
      <c r="D35" t="inlineStr">
        <is>
          <t>Бухгалтер по первичке</t>
        </is>
      </c>
      <c r="E35" t="inlineStr">
        <is>
          <t>Бухгалтерия</t>
        </is>
      </c>
      <c r="F35" t="inlineStr">
        <is>
          <t>Москва</t>
        </is>
      </c>
      <c r="G35" t="n">
        <v>127000</v>
      </c>
      <c r="H35" t="n">
        <v>10</v>
      </c>
      <c r="I35">
        <f>G35*12*(1+H35/100)</f>
        <v/>
      </c>
      <c r="J35" t="inlineStr">
        <is>
          <t>Командировки в Китай 2 раза в год</t>
        </is>
      </c>
    </row>
    <row r="36">
      <c r="A36" t="inlineStr">
        <is>
          <t>Устинов Владимир Олегович</t>
        </is>
      </c>
      <c r="B36" t="inlineStr">
        <is>
          <t>00603</t>
        </is>
      </c>
      <c r="C36" t="inlineStr">
        <is>
          <t>451-796-481 21</t>
        </is>
      </c>
      <c r="D36" t="inlineStr">
        <is>
          <t>Менеджер по закупкам</t>
        </is>
      </c>
      <c r="E36" t="inlineStr">
        <is>
          <t>Закупки</t>
        </is>
      </c>
      <c r="F36" t="inlineStr">
        <is>
          <t>Москва</t>
        </is>
      </c>
      <c r="G36" t="n">
        <v>176000</v>
      </c>
      <c r="H36" t="n">
        <v>15</v>
      </c>
      <c r="I36">
        <f>G36*12*(1+H36/100)</f>
        <v/>
      </c>
    </row>
    <row r="37">
      <c r="A37" t="inlineStr">
        <is>
          <t>Зайцева Алина Юрьевна</t>
        </is>
      </c>
      <c r="B37" t="inlineStr">
        <is>
          <t>00450</t>
        </is>
      </c>
      <c r="C37" t="inlineStr">
        <is>
          <t>543-143-840 67</t>
        </is>
      </c>
      <c r="D37" t="inlineStr">
        <is>
          <t>Менеджер по закупкам</t>
        </is>
      </c>
      <c r="E37" t="inlineStr">
        <is>
          <t>Закупки</t>
        </is>
      </c>
      <c r="F37" t="inlineStr">
        <is>
          <t>Москва</t>
        </is>
      </c>
      <c r="G37" t="n">
        <v>132000</v>
      </c>
      <c r="H37" t="n">
        <v>5</v>
      </c>
      <c r="I37">
        <f>G37*12*(1+H37/100)</f>
        <v/>
      </c>
    </row>
    <row r="38">
      <c r="A38" t="inlineStr">
        <is>
          <t>Щербаков Владимир Игоревич</t>
        </is>
      </c>
      <c r="B38" t="inlineStr">
        <is>
          <t>00673</t>
        </is>
      </c>
      <c r="C38" t="inlineStr">
        <is>
          <t>177-438-604 05</t>
        </is>
      </c>
      <c r="D38" t="inlineStr">
        <is>
          <t>Старший кладовщик</t>
        </is>
      </c>
      <c r="E38" t="inlineStr">
        <is>
          <t>Склад</t>
        </is>
      </c>
      <c r="F38" t="inlineStr">
        <is>
          <t>Москва</t>
        </is>
      </c>
      <c r="G38" t="n">
        <v>132000</v>
      </c>
      <c r="H38" t="n">
        <v>0</v>
      </c>
      <c r="I38">
        <f>G38*12*(1+H38/100)</f>
        <v/>
      </c>
      <c r="J38" t="inlineStr">
        <is>
          <t>Отчеты для Дмитрия Николаевича</t>
        </is>
      </c>
    </row>
    <row r="39">
      <c r="A39" t="inlineStr">
        <is>
          <t>Орлов Егор Александрович</t>
        </is>
      </c>
      <c r="B39" t="inlineStr">
        <is>
          <t>00320</t>
        </is>
      </c>
      <c r="C39" t="inlineStr">
        <is>
          <t>665-942-110 22</t>
        </is>
      </c>
      <c r="D39" t="inlineStr">
        <is>
          <t>Бухгалтер по первичке</t>
        </is>
      </c>
      <c r="E39" t="inlineStr">
        <is>
          <t>Бухгалтерия</t>
        </is>
      </c>
      <c r="F39" t="inlineStr">
        <is>
          <t>Москва</t>
        </is>
      </c>
      <c r="G39" t="n">
        <v>178000</v>
      </c>
      <c r="H39" t="n">
        <v>15</v>
      </c>
      <c r="I39">
        <f>G39*12*(1+H39/100)</f>
        <v/>
      </c>
    </row>
    <row r="40">
      <c r="A40" t="inlineStr">
        <is>
          <t>Калинина Юлия Сергеевна</t>
        </is>
      </c>
      <c r="B40" t="inlineStr">
        <is>
          <t>00754</t>
        </is>
      </c>
      <c r="C40" t="inlineStr">
        <is>
          <t>673-617-230 10</t>
        </is>
      </c>
      <c r="D40" t="inlineStr">
        <is>
          <t>Менеджер по закупкам</t>
        </is>
      </c>
      <c r="E40" t="inlineStr">
        <is>
          <t>Закупки</t>
        </is>
      </c>
      <c r="F40" t="inlineStr">
        <is>
          <t>Тверь</t>
        </is>
      </c>
      <c r="G40" t="n">
        <v>121000</v>
      </c>
      <c r="H40" t="n">
        <v>10</v>
      </c>
      <c r="I40">
        <f>G40*12*(1+H40/100)</f>
        <v/>
      </c>
    </row>
    <row r="41">
      <c r="A41" t="inlineStr">
        <is>
          <t>Гаврилов Егор Олегович</t>
        </is>
      </c>
      <c r="B41" t="inlineStr">
        <is>
          <t>00303</t>
        </is>
      </c>
      <c r="C41" t="inlineStr">
        <is>
          <t>174-766-002 90</t>
        </is>
      </c>
      <c r="D41" t="inlineStr">
        <is>
          <t>Логист</t>
        </is>
      </c>
      <c r="E41" t="inlineStr">
        <is>
          <t>Логистика</t>
        </is>
      </c>
      <c r="F41" t="inlineStr">
        <is>
          <t>Москва</t>
        </is>
      </c>
      <c r="G41" t="n">
        <v>146000</v>
      </c>
      <c r="H41" t="n">
        <v>20</v>
      </c>
      <c r="I41">
        <f>G41*12*(1+H41/100)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60" customWidth="1" min="4" max="4"/>
  </cols>
  <sheetData>
    <row r="1">
      <c r="A1" s="1" t="inlineStr">
        <is>
          <t>Отдел</t>
        </is>
      </c>
      <c r="B1" s="1" t="inlineStr">
        <is>
          <t>Руководитель</t>
        </is>
      </c>
      <c r="C1" s="1" t="inlineStr">
        <is>
          <t>Заместитель</t>
        </is>
      </c>
      <c r="D1" s="1" t="inlineStr">
        <is>
          <t>Примечание</t>
        </is>
      </c>
    </row>
    <row r="2">
      <c r="A2" t="inlineStr">
        <is>
          <t>Бухгалтерия</t>
        </is>
      </c>
      <c r="B2" t="inlineStr">
        <is>
          <t>Ковалева М.А.</t>
        </is>
      </c>
      <c r="C2" t="inlineStr">
        <is>
          <t>Глеб Рябов</t>
        </is>
      </c>
      <c r="D2" t="inlineStr">
        <is>
          <t>Подписывает платежки</t>
        </is>
      </c>
    </row>
    <row r="3">
      <c r="A3" t="inlineStr">
        <is>
          <t>Закупки</t>
        </is>
      </c>
      <c r="B3" t="inlineStr">
        <is>
          <t>Олег Викторович Морозов</t>
        </is>
      </c>
      <c r="C3" t="inlineStr">
        <is>
          <t>Морозова А.С.</t>
        </is>
      </c>
      <c r="D3" t="inlineStr">
        <is>
          <t>Связь с поставщиками в Китае</t>
        </is>
      </c>
    </row>
    <row r="4">
      <c r="A4" t="inlineStr">
        <is>
          <t>Склад</t>
        </is>
      </c>
      <c r="B4" t="inlineStr">
        <is>
          <t>Лебедев Д. Н.</t>
        </is>
      </c>
      <c r="C4" t="inlineStr">
        <is>
          <t>Тихонова Елена</t>
        </is>
      </c>
    </row>
    <row r="5">
      <c r="A5" t="inlineStr">
        <is>
          <t>Маркетплейсы</t>
        </is>
      </c>
      <c r="B5" t="inlineStr">
        <is>
          <t>Е.П. Соколова</t>
        </is>
      </c>
      <c r="D5" t="inlineStr">
        <is>
          <t>Временно также ведет логистику, пока Морозов в командировке</t>
        </is>
      </c>
    </row>
    <row r="6">
      <c r="A6" t="inlineStr">
        <is>
          <t>Логистика</t>
        </is>
      </c>
      <c r="B6" t="inlineStr">
        <is>
          <t>Дмитрий Лебедев</t>
        </is>
      </c>
      <c r="D6" t="inlineStr">
        <is>
          <t>Вакансия заместителя открыта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interview-anonymizer fixtures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